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puts" sheetId="2" state="visible" r:id="rId2"/>
    <sheet xmlns:r="http://schemas.openxmlformats.org/officeDocument/2006/relationships" name="Build" sheetId="3" state="visible" r:id="rId3"/>
    <sheet xmlns:r="http://schemas.openxmlformats.org/officeDocument/2006/relationships" name="Model" sheetId="4" state="visible" r:id="rId4"/>
    <sheet xmlns:r="http://schemas.openxmlformats.org/officeDocument/2006/relationships" name="Quarters" sheetId="5" state="visible" r:id="rId5"/>
    <sheet xmlns:r="http://schemas.openxmlformats.org/officeDocument/2006/relationships" name="Consensus" sheetId="6" state="visible" r:id="rId6"/>
    <sheet xmlns:r="http://schemas.openxmlformats.org/officeDocument/2006/relationships" name="Change log" sheetId="7" state="visible" r:id="rId7"/>
  </sheets>
  <definedNames/>
  <calcPr calcId="124519" fullCalcOnLoad="1"/>
</workbook>
</file>

<file path=xl/styles.xml><?xml version="1.0" encoding="utf-8"?>
<styleSheet xmlns="http://schemas.openxmlformats.org/spreadsheetml/2006/main">
  <numFmts count="2">
    <numFmt numFmtId="164" formatCode="$#,##0.0&quot;bn&quot;"/>
    <numFmt numFmtId="165" formatCode="0.0%"/>
  </numFmts>
  <fonts count="4">
    <font>
      <name val="Calibri"/>
      <family val="2"/>
      <color theme="1"/>
      <sz val="11"/>
      <scheme val="minor"/>
    </font>
    <font>
      <b val="1"/>
      <sz val="13"/>
    </font>
    <font>
      <b val="1"/>
    </font>
    <font>
      <color rgb="000000FF"/>
    </font>
  </fonts>
  <fills count="3">
    <fill>
      <patternFill/>
    </fill>
    <fill>
      <patternFill patternType="gray125"/>
    </fill>
    <fill>
      <patternFill patternType="solid">
        <fgColor rgb="00DDE3EA"/>
      </patternFill>
    </fill>
  </fills>
  <borders count="2">
    <border>
      <left/>
      <right/>
      <top/>
      <bottom/>
      <diagonal/>
    </border>
    <border>
      <top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horizontal="left"/>
    </xf>
    <xf numFmtId="0" fontId="2" fillId="2" borderId="0" applyAlignment="1" pivotButton="0" quotePrefix="0" xfId="0">
      <alignment horizontal="center"/>
    </xf>
    <xf numFmtId="164" fontId="0" fillId="0" borderId="0" pivotButton="0" quotePrefix="0" xfId="0"/>
    <xf numFmtId="165" fontId="0" fillId="0" borderId="0" pivotButton="0" quotePrefix="0" xfId="0"/>
    <xf numFmtId="164" fontId="3" fillId="0" borderId="0" pivotButton="0" quotePrefix="0" xfId="0"/>
    <xf numFmtId="0" fontId="2" fillId="0" borderId="0" pivotButton="0" quotePrefix="0" xfId="0"/>
    <xf numFmtId="164" fontId="2" fillId="0" borderId="1" pivotButton="0" quotePrefix="0" xfId="0"/>
    <xf numFmtId="165" fontId="3" fillId="0" borderId="0" pivotButton="0" quotePrefix="0" xfId="0"/>
    <xf numFmtId="164" fontId="2" fillId="0" borderId="0" pivotButton="0" quotePrefix="0" xfId="0"/>
    <xf numFmtId="2"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5" customWidth="1" min="6" max="6"/>
    <col width="16" customWidth="1" min="7" max="7"/>
  </cols>
  <sheetData>
    <row r="1">
      <c r="A1" s="1" t="inlineStr">
        <is>
          <t>Hyperscaler AI capex -&gt; accelerator revenue (calendar 2026)</t>
        </is>
      </c>
    </row>
    <row r="2">
      <c r="A2" t="inlineStr">
        <is>
          <t>Research agent's model. USD bn. Blue = inputs (Inputs sheet), black = formulas.</t>
        </is>
      </c>
    </row>
    <row r="3">
      <c r="A3" t="inlineStr">
        <is>
          <t>Calendar 2026</t>
        </is>
      </c>
    </row>
    <row r="4">
      <c r="A4" s="2" t="inlineStr">
        <is>
          <t>Output</t>
        </is>
      </c>
      <c r="B4" s="3" t="inlineStr">
        <is>
          <t>Bear</t>
        </is>
      </c>
      <c r="C4" s="3" t="inlineStr">
        <is>
          <t>Base</t>
        </is>
      </c>
      <c r="D4" s="3" t="inlineStr">
        <is>
          <t>Bull</t>
        </is>
      </c>
      <c r="E4" s="3" t="inlineStr">
        <is>
          <t>Street</t>
        </is>
      </c>
      <c r="F4" s="3" t="inlineStr">
        <is>
          <t>Base vs street</t>
        </is>
      </c>
      <c r="G4" s="3" t="inlineStr">
        <is>
          <t>Base vs street %</t>
        </is>
      </c>
    </row>
    <row r="5">
      <c r="A5" t="inlineStr">
        <is>
          <t>NVIDIA Data Center revenue</t>
        </is>
      </c>
      <c r="B5" s="4">
        <f>Model!B4</f>
        <v/>
      </c>
      <c r="C5" s="4">
        <f>Model!C4</f>
        <v/>
      </c>
      <c r="D5" s="4">
        <f>Model!D4</f>
        <v/>
      </c>
      <c r="E5" s="4">
        <f>Model!C5</f>
        <v/>
      </c>
      <c r="F5" s="4">
        <f>C5-E5</f>
        <v/>
      </c>
      <c r="G5" s="5">
        <f>F5/E5</f>
        <v/>
      </c>
    </row>
    <row r="6">
      <c r="A6" t="inlineStr">
        <is>
          <t>AMD Data Center GPU revenue</t>
        </is>
      </c>
      <c r="B6" s="4">
        <f>Model!B7</f>
        <v/>
      </c>
      <c r="C6" s="4">
        <f>Model!C7</f>
        <v/>
      </c>
      <c r="D6" s="4">
        <f>Model!D7</f>
        <v/>
      </c>
      <c r="E6" s="4">
        <f>Model!C8</f>
        <v/>
      </c>
      <c r="F6" s="4">
        <f>C6-E6</f>
        <v/>
      </c>
      <c r="G6" s="5">
        <f>F6/E6</f>
        <v/>
      </c>
    </row>
    <row r="8">
      <c r="A8" t="inlineStr">
        <is>
          <t>Big-4 2026 capex</t>
        </is>
      </c>
      <c r="C8" s="4">
        <f>Inputs!C8</f>
        <v/>
      </c>
      <c r="E8" s="4">
        <f>Inputs!D8</f>
        <v/>
      </c>
      <c r="F8" s="4">
        <f>C8-E8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44" customWidth="1" min="2" max="2"/>
    <col width="12" customWidth="1" min="3" max="3"/>
    <col width="12" customWidth="1" min="4" max="4"/>
    <col width="12" customWidth="1" min="5" max="5"/>
    <col width="40" customWidth="1" min="6" max="6"/>
  </cols>
  <sheetData>
    <row r="1">
      <c r="A1" s="1" t="inlineStr">
        <is>
          <t>Inputs (agent-maintained; every change is logged on the Change log sheet)</t>
        </is>
      </c>
    </row>
    <row r="3">
      <c r="A3" s="2" t="inlineStr">
        <is>
          <t>Company</t>
        </is>
      </c>
      <c r="B3" s="3" t="inlineStr">
        <is>
          <t>Capex measure</t>
        </is>
      </c>
      <c r="C3" s="3" t="inlineStr">
        <is>
          <t>Capex (calendar year)</t>
        </is>
      </c>
      <c r="D3" s="3" t="inlineStr">
        <is>
          <t>Street</t>
        </is>
      </c>
      <c r="E3" s="3" t="inlineStr">
        <is>
          <t>vs street</t>
        </is>
      </c>
      <c r="F3" s="3" t="inlineStr">
        <is>
          <t>Sources</t>
        </is>
      </c>
    </row>
    <row r="4">
      <c r="A4" t="inlineStr">
        <is>
          <t>Microsoft</t>
        </is>
      </c>
      <c r="B4" t="inlineStr">
        <is>
          <t>Cash additions to property and equipment, calendar 2026 estimate</t>
        </is>
      </c>
      <c r="C4" s="6" t="n">
        <v>150</v>
      </c>
      <c r="D4" s="4">
        <f>Consensus!B8</f>
        <v/>
      </c>
      <c r="E4" s="4">
        <f>C4-D4</f>
        <v/>
      </c>
      <c r="F4" t="inlineStr">
        <is>
          <t>street-oct2026</t>
        </is>
      </c>
    </row>
    <row r="5">
      <c r="A5" t="inlineStr">
        <is>
          <t>Alphabet</t>
        </is>
      </c>
      <c r="B5" t="inlineStr">
        <is>
          <t>Purchases of property and equipment</t>
        </is>
      </c>
      <c r="C5" s="6" t="n">
        <v>180</v>
      </c>
      <c r="D5" s="4">
        <f>Consensus!B9</f>
        <v/>
      </c>
      <c r="E5" s="4">
        <f>C5-D5</f>
        <v/>
      </c>
      <c r="F5" t="inlineStr">
        <is>
          <t>street-oct2026</t>
        </is>
      </c>
    </row>
    <row r="6">
      <c r="A6" t="inlineStr">
        <is>
          <t>Meta</t>
        </is>
      </c>
      <c r="B6" t="inlineStr">
        <is>
          <t>Capital expenditures including principal payments on finance leases</t>
        </is>
      </c>
      <c r="C6" s="6" t="n">
        <v>137.5</v>
      </c>
      <c r="D6" s="4">
        <f>Consensus!B10</f>
        <v/>
      </c>
      <c r="E6" s="4">
        <f>C6-D6</f>
        <v/>
      </c>
      <c r="F6" t="inlineStr">
        <is>
          <t>street-oct2026</t>
        </is>
      </c>
    </row>
    <row r="7">
      <c r="A7" t="inlineStr">
        <is>
          <t>Amazon</t>
        </is>
      </c>
      <c r="B7" t="inlineStr">
        <is>
          <t>Purchases of property and equipment; includes retail fulfillment and transportation</t>
        </is>
      </c>
      <c r="C7" s="6" t="n">
        <v>215</v>
      </c>
      <c r="D7" s="4">
        <f>Consensus!B11</f>
        <v/>
      </c>
      <c r="E7" s="4">
        <f>C7-D7</f>
        <v/>
      </c>
      <c r="F7" t="inlineStr">
        <is>
          <t>street-oct2026</t>
        </is>
      </c>
    </row>
    <row r="8">
      <c r="A8" s="7" t="inlineStr">
        <is>
          <t>Big-4 total</t>
        </is>
      </c>
      <c r="C8" s="8">
        <f>SUM(C4:C7)</f>
        <v/>
      </c>
      <c r="D8" s="8">
        <f>SUM(D4:D7)</f>
        <v/>
      </c>
      <c r="E8" s="8">
        <f>SUM(E4:E7)</f>
        <v/>
      </c>
    </row>
    <row r="10">
      <c r="A10" s="2" t="inlineStr">
        <is>
          <t>Driver</t>
        </is>
      </c>
      <c r="B10" s="3" t="inlineStr">
        <is>
          <t>Bear</t>
        </is>
      </c>
      <c r="C10" s="3" t="inlineStr">
        <is>
          <t>Base</t>
        </is>
      </c>
      <c r="D10" s="3" t="inlineStr">
        <is>
          <t>Bull</t>
        </is>
      </c>
      <c r="E10" s="3" t="inlineStr">
        <is>
          <t>Unit</t>
        </is>
      </c>
      <c r="F10" s="3" t="inlineStr">
        <is>
          <t>Notes</t>
        </is>
      </c>
    </row>
    <row r="11">
      <c r="A11" t="inlineStr">
        <is>
          <t>Accelerator share of capex</t>
        </is>
      </c>
      <c r="B11" s="9" t="n">
        <v>0.353</v>
      </c>
      <c r="C11" s="9" t="n">
        <v>0.373</v>
      </c>
      <c r="D11" s="9" t="n">
        <v>0.39</v>
      </c>
      <c r="E11" t="inlineStr">
        <is>
          <t xml:space="preserve">% </t>
        </is>
      </c>
      <c r="F11" t="inlineStr">
        <is>
          <t>accelerator_share</t>
        </is>
      </c>
    </row>
    <row r="12">
      <c r="A12" t="inlineStr">
        <is>
          <t>NVIDIA share of accelerator spend</t>
        </is>
      </c>
      <c r="B12" s="9" t="n">
        <v>0.64</v>
      </c>
      <c r="C12" s="9" t="n">
        <v>0.65</v>
      </c>
      <c r="D12" s="9" t="n">
        <v>0.655</v>
      </c>
      <c r="E12" t="inlineStr">
        <is>
          <t xml:space="preserve">% </t>
        </is>
      </c>
      <c r="F12" t="inlineStr">
        <is>
          <t>nvda_share</t>
        </is>
      </c>
    </row>
    <row r="13">
      <c r="A13" t="inlineStr">
        <is>
          <t>AMD share of accelerator spend</t>
        </is>
      </c>
      <c r="B13" s="9" t="n">
        <v>0.025</v>
      </c>
      <c r="C13" s="9" t="n">
        <v>0.0275</v>
      </c>
      <c r="D13" s="9" t="n">
        <v>0.03</v>
      </c>
      <c r="E13" t="inlineStr">
        <is>
          <t xml:space="preserve">% </t>
        </is>
      </c>
      <c r="F13" t="inlineStr">
        <is>
          <t>amd_share</t>
        </is>
      </c>
    </row>
    <row r="14">
      <c r="A14" t="inlineStr">
        <is>
          <t>Big-4 share of NVIDIA DC revenue</t>
        </is>
      </c>
      <c r="B14" s="9" t="n">
        <v>0.4485</v>
      </c>
      <c r="C14" s="9" t="n">
        <v>0.4455</v>
      </c>
      <c r="D14" s="9" t="n">
        <v>0.445</v>
      </c>
      <c r="E14" t="inlineStr">
        <is>
          <t xml:space="preserve">% </t>
        </is>
      </c>
      <c r="F14" t="inlineStr">
        <is>
          <t>nvda_big4_share</t>
        </is>
      </c>
    </row>
    <row r="15">
      <c r="A15" t="inlineStr">
        <is>
          <t>Big-4 share of AMD DC GPU revenue</t>
        </is>
      </c>
      <c r="B15" s="9" t="n">
        <v>0.55</v>
      </c>
      <c r="C15" s="9" t="n">
        <v>0.5</v>
      </c>
      <c r="D15" s="9" t="n">
        <v>0.45</v>
      </c>
      <c r="E15" t="inlineStr">
        <is>
          <t xml:space="preserve">% </t>
        </is>
      </c>
      <c r="F15" t="inlineStr">
        <is>
          <t>amd_big4_share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8" customWidth="1" min="3" max="3"/>
    <col width="14" customWidth="1" min="4" max="4"/>
    <col width="14" customWidth="1" min="5" max="5"/>
  </cols>
  <sheetData>
    <row r="1">
      <c r="A1" s="1" t="inlineStr">
        <is>
          <t>Base-case build-up by customer</t>
        </is>
      </c>
    </row>
    <row r="3">
      <c r="A3" s="2" t="inlineStr">
        <is>
          <t>Customer</t>
        </is>
      </c>
      <c r="B3" s="3" t="inlineStr">
        <is>
          <t>Capex</t>
        </is>
      </c>
      <c r="C3" s="3" t="inlineStr">
        <is>
          <t>Accelerator spend</t>
        </is>
      </c>
      <c r="D3" s="3" t="inlineStr">
        <is>
          <t>To NVIDIA</t>
        </is>
      </c>
      <c r="E3" s="3" t="inlineStr">
        <is>
          <t>To AMD</t>
        </is>
      </c>
    </row>
    <row r="4">
      <c r="A4" t="inlineStr">
        <is>
          <t>Microsoft</t>
        </is>
      </c>
      <c r="B4" s="4">
        <f>Inputs!C4</f>
        <v/>
      </c>
      <c r="C4" s="4">
        <f>B4*Inputs!$C$11</f>
        <v/>
      </c>
      <c r="D4" s="4">
        <f>C4*Inputs!$C$12</f>
        <v/>
      </c>
      <c r="E4" s="4">
        <f>C4*Inputs!$C$13</f>
        <v/>
      </c>
    </row>
    <row r="5">
      <c r="A5" t="inlineStr">
        <is>
          <t>Alphabet</t>
        </is>
      </c>
      <c r="B5" s="4">
        <f>Inputs!C5</f>
        <v/>
      </c>
      <c r="C5" s="4">
        <f>B5*Inputs!$C$11</f>
        <v/>
      </c>
      <c r="D5" s="4">
        <f>C5*Inputs!$C$12</f>
        <v/>
      </c>
      <c r="E5" s="4">
        <f>C5*Inputs!$C$13</f>
        <v/>
      </c>
    </row>
    <row r="6">
      <c r="A6" t="inlineStr">
        <is>
          <t>Meta</t>
        </is>
      </c>
      <c r="B6" s="4">
        <f>Inputs!C6</f>
        <v/>
      </c>
      <c r="C6" s="4">
        <f>B6*Inputs!$C$11</f>
        <v/>
      </c>
      <c r="D6" s="4">
        <f>C6*Inputs!$C$12</f>
        <v/>
      </c>
      <c r="E6" s="4">
        <f>C6*Inputs!$C$13</f>
        <v/>
      </c>
    </row>
    <row r="7">
      <c r="A7" t="inlineStr">
        <is>
          <t>Amazon</t>
        </is>
      </c>
      <c r="B7" s="4">
        <f>Inputs!C7</f>
        <v/>
      </c>
      <c r="C7" s="4">
        <f>B7*Inputs!$C$11</f>
        <v/>
      </c>
      <c r="D7" s="4">
        <f>C7*Inputs!$C$12</f>
        <v/>
      </c>
      <c r="E7" s="4">
        <f>C7*Inputs!$C$13</f>
        <v/>
      </c>
    </row>
    <row r="8">
      <c r="A8" s="7" t="inlineStr">
        <is>
          <t>Big-4 total</t>
        </is>
      </c>
      <c r="B8" s="8">
        <f>SUM(B4:B7)</f>
        <v/>
      </c>
      <c r="C8" s="8">
        <f>SUM(C4:C7)</f>
        <v/>
      </c>
      <c r="D8" s="8">
        <f>SUM(D4:D7)</f>
        <v/>
      </c>
      <c r="E8" s="8">
        <f>SUM(E4:E7)</f>
        <v/>
      </c>
    </row>
    <row r="9">
      <c r="B9" s="4" t="n"/>
      <c r="C9" s="4" t="n"/>
      <c r="D9" s="4" t="n"/>
      <c r="E9" s="4" t="n"/>
    </row>
    <row r="10">
      <c r="A10" t="inlineStr">
        <is>
          <t>Gross-up for non-big-4 customers</t>
        </is>
      </c>
      <c r="B10" s="4" t="n"/>
      <c r="C10" s="4" t="n"/>
      <c r="D10" s="4">
        <f>D8/Inputs!$C$14</f>
        <v/>
      </c>
      <c r="E10" s="4">
        <f>E8/Inputs!$C$15</f>
        <v/>
      </c>
    </row>
    <row r="11">
      <c r="A11" s="7" t="inlineStr">
        <is>
          <t>Implied supplier revenue</t>
        </is>
      </c>
      <c r="B11" s="4" t="n"/>
      <c r="C11" s="4" t="n"/>
      <c r="D11" s="4">
        <f>D10</f>
        <v/>
      </c>
      <c r="E11" s="4">
        <f>E10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s>
  <sheetData>
    <row r="1">
      <c r="A1" s="1" t="inlineStr">
        <is>
          <t>Scenario outputs (calendar 2026, USD bn)</t>
        </is>
      </c>
    </row>
    <row r="2">
      <c r="A2" s="2" t="inlineStr">
        <is>
          <t>Line</t>
        </is>
      </c>
      <c r="B2" s="3" t="inlineStr">
        <is>
          <t>Bear</t>
        </is>
      </c>
      <c r="C2" s="3" t="inlineStr">
        <is>
          <t>Base</t>
        </is>
      </c>
      <c r="D2" s="3" t="inlineStr">
        <is>
          <t>Bull</t>
        </is>
      </c>
    </row>
    <row r="3">
      <c r="A3" t="inlineStr">
        <is>
          <t>Accelerator spend</t>
        </is>
      </c>
      <c r="B3" s="4">
        <f>Inputs!$C$8*Inputs!B11</f>
        <v/>
      </c>
      <c r="C3" s="4">
        <f>Inputs!$C$8*Inputs!C11</f>
        <v/>
      </c>
      <c r="D3" s="4">
        <f>Inputs!$C$8*Inputs!D11</f>
        <v/>
      </c>
    </row>
    <row r="4">
      <c r="A4" s="7" t="inlineStr">
        <is>
          <t>NVIDIA Data Center revenue</t>
        </is>
      </c>
      <c r="B4" s="4">
        <f>B3*Inputs!B12/Inputs!B14</f>
        <v/>
      </c>
      <c r="C4" s="4">
        <f>C3*Inputs!C12/Inputs!C14</f>
        <v/>
      </c>
      <c r="D4" s="4">
        <f>D3*Inputs!D12/Inputs!D14</f>
        <v/>
      </c>
    </row>
    <row r="5">
      <c r="A5" t="inlineStr">
        <is>
          <t xml:space="preserve">  Street</t>
        </is>
      </c>
      <c r="B5" s="4">
        <f>Consensus!$B$4</f>
        <v/>
      </c>
      <c r="C5" s="4">
        <f>Consensus!$B$4</f>
        <v/>
      </c>
      <c r="D5" s="4">
        <f>Consensus!$B$4</f>
        <v/>
      </c>
    </row>
    <row r="6">
      <c r="A6" t="inlineStr">
        <is>
          <t xml:space="preserve">  vs street</t>
        </is>
      </c>
      <c r="B6" s="4">
        <f>B4-B5</f>
        <v/>
      </c>
      <c r="C6" s="4">
        <f>C4-C5</f>
        <v/>
      </c>
      <c r="D6" s="4">
        <f>D4-D5</f>
        <v/>
      </c>
    </row>
    <row r="7">
      <c r="A7" s="7" t="inlineStr">
        <is>
          <t>AMD Data Center GPU revenue</t>
        </is>
      </c>
      <c r="B7" s="4">
        <f>B3*Inputs!B13/Inputs!B15</f>
        <v/>
      </c>
      <c r="C7" s="4">
        <f>C3*Inputs!C13/Inputs!C15</f>
        <v/>
      </c>
      <c r="D7" s="4">
        <f>D3*Inputs!D13/Inputs!D15</f>
        <v/>
      </c>
    </row>
    <row r="8">
      <c r="A8" t="inlineStr">
        <is>
          <t xml:space="preserve">  Street</t>
        </is>
      </c>
      <c r="B8" s="4">
        <f>Consensus!$B$5</f>
        <v/>
      </c>
      <c r="C8" s="4">
        <f>Consensus!$B$5</f>
        <v/>
      </c>
      <c r="D8" s="4">
        <f>Consensus!$B$5</f>
        <v/>
      </c>
    </row>
    <row r="9">
      <c r="A9" t="inlineStr">
        <is>
          <t xml:space="preserve">  vs street</t>
        </is>
      </c>
      <c r="B9" s="4">
        <f>B7-B8</f>
        <v/>
      </c>
      <c r="C9" s="4">
        <f>C7-C8</f>
        <v/>
      </c>
      <c r="D9" s="4">
        <f>D7-D8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8" customWidth="1" min="6" max="6"/>
  </cols>
  <sheetData>
    <row r="1">
      <c r="A1" s="1" t="inlineStr">
        <is>
          <t>NVIDIA Data Center revenue by fiscal quarter, bridged to calendar 2026</t>
        </is>
      </c>
    </row>
    <row r="2">
      <c r="A2" t="inlineStr">
        <is>
          <t>Blue = the agent's inputs: reported quarters (with their source) and its next-quarter estimate. Black = formulas.</t>
        </is>
      </c>
    </row>
    <row r="4">
      <c r="A4" s="2" t="inlineStr">
        <is>
          <t>Fiscal quarter</t>
        </is>
      </c>
      <c r="B4" s="3" t="inlineStr">
        <is>
          <t>Q4 FY26</t>
        </is>
      </c>
      <c r="C4" s="3" t="inlineStr">
        <is>
          <t>Q1 FY27</t>
        </is>
      </c>
      <c r="D4" s="3" t="inlineStr">
        <is>
          <t>Q2 FY27</t>
        </is>
      </c>
      <c r="E4" s="3" t="inlineStr">
        <is>
          <t>Q3 FY27</t>
        </is>
      </c>
      <c r="F4" s="3" t="inlineStr">
        <is>
          <t>Q4 FY27</t>
        </is>
      </c>
    </row>
    <row r="5">
      <c r="A5" t="inlineStr">
        <is>
          <t>Months</t>
        </is>
      </c>
      <c r="B5" t="inlineStr">
        <is>
          <t>Nov 2025-Jan 2026</t>
        </is>
      </c>
      <c r="C5" t="inlineStr">
        <is>
          <t>Feb-Apr 2026</t>
        </is>
      </c>
      <c r="D5" t="inlineStr">
        <is>
          <t>May-Jul 2026</t>
        </is>
      </c>
      <c r="E5" t="inlineStr">
        <is>
          <t>Aug-Oct 2026</t>
        </is>
      </c>
      <c r="F5" t="inlineStr">
        <is>
          <t>Nov 2026-Jan 2027</t>
        </is>
      </c>
    </row>
    <row r="6">
      <c r="A6" t="inlineStr">
        <is>
          <t>Status</t>
        </is>
      </c>
      <c r="B6" t="inlineStr">
        <is>
          <t>Reported</t>
        </is>
      </c>
      <c r="C6" t="inlineStr">
        <is>
          <t>Reported</t>
        </is>
      </c>
      <c r="D6" t="inlineStr">
        <is>
          <t>Reported</t>
        </is>
      </c>
      <c r="E6" t="inlineStr">
        <is>
          <t>Estimate</t>
        </is>
      </c>
      <c r="F6" t="inlineStr">
        <is>
          <t>Implied by the model</t>
        </is>
      </c>
    </row>
    <row r="7">
      <c r="A7" t="inlineStr">
        <is>
          <t>Data Center revenue</t>
        </is>
      </c>
      <c r="B7" s="6" t="n">
        <v>62.314</v>
      </c>
      <c r="C7" s="6" t="n">
        <v>75.246</v>
      </c>
      <c r="D7" s="6" t="n">
        <v>89.023</v>
      </c>
      <c r="E7" s="6" t="n">
        <v>102</v>
      </c>
      <c r="F7" s="10">
        <f>IF(COUNT(B7:E7)&lt;4,"",(B12-SUM(B9:E9))/F8)</f>
        <v/>
      </c>
    </row>
    <row r="8">
      <c r="A8" t="inlineStr">
        <is>
          <t>Months inside calendar 2026</t>
        </is>
      </c>
      <c r="B8" s="11">
        <f>1/3</f>
        <v/>
      </c>
      <c r="C8" s="11" t="n">
        <v>1</v>
      </c>
      <c r="D8" s="11" t="n">
        <v>1</v>
      </c>
      <c r="E8" s="11" t="n">
        <v>1</v>
      </c>
      <c r="F8" s="11">
        <f>2/3</f>
        <v/>
      </c>
    </row>
    <row r="9">
      <c r="A9" t="inlineStr">
        <is>
          <t>Contribution to calendar 2026</t>
        </is>
      </c>
      <c r="B9" s="4">
        <f>IF(B7="","",B7*B8)</f>
        <v/>
      </c>
      <c r="C9" s="4">
        <f>IF(C7="","",C7*C8)</f>
        <v/>
      </c>
      <c r="D9" s="4">
        <f>IF(D7="","",D7*D8)</f>
        <v/>
      </c>
      <c r="E9" s="4">
        <f>IF(E7="","",E7*E8)</f>
        <v/>
      </c>
      <c r="F9" s="4">
        <f>IF(F7="","",F7*F8)</f>
        <v/>
      </c>
    </row>
    <row r="10">
      <c r="A10" t="inlineStr">
        <is>
          <t>Source</t>
        </is>
      </c>
      <c r="B10" s="12" t="inlineStr">
        <is>
          <t>nvda-2026-02-25-cfo</t>
        </is>
      </c>
      <c r="C10" s="12" t="inlineStr">
        <is>
          <t>nvda-2026-05-20-cfo</t>
        </is>
      </c>
      <c r="D10" s="12" t="inlineStr">
        <is>
          <t>nvda-2026-08-26-cfo</t>
        </is>
      </c>
      <c r="E10" s="12" t="inlineStr">
        <is>
          <t>channel-q4-slip</t>
        </is>
      </c>
    </row>
    <row r="12">
      <c r="A12" t="inlineStr">
        <is>
          <t>Calendar 2026 Data Center revenue (base model)</t>
        </is>
      </c>
      <c r="B12" s="4">
        <f>Model!C4</f>
        <v/>
      </c>
    </row>
    <row r="13">
      <c r="A13" t="inlineStr">
        <is>
          <t>Fiscal Q4 the model requires</t>
        </is>
      </c>
      <c r="B13" s="4">
        <f>F7</f>
        <v/>
      </c>
    </row>
    <row r="14">
      <c r="A14" t="inlineStr">
        <is>
          <t xml:space="preserve">  growth on fiscal Q3</t>
        </is>
      </c>
      <c r="B14" s="5">
        <f>IF(F7="","",F7/E7-1)</f>
        <v/>
      </c>
    </row>
    <row r="15">
      <c r="A15" t="inlineStr">
        <is>
          <t>Agent's own fiscal-Q4 view</t>
        </is>
      </c>
      <c r="B15" s="6" t="n">
        <v>127</v>
      </c>
    </row>
    <row r="16">
      <c r="A16" t="inlineStr">
        <is>
          <t xml:space="preserve">  model needs more (+) or less (-) than that view</t>
        </is>
      </c>
      <c r="B16" s="4">
        <f>IF(OR(B15="",F7=""),"",F7-B15)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6" customWidth="1" min="2" max="2"/>
    <col width="30" customWidth="1" min="3" max="3"/>
  </cols>
  <sheetData>
    <row r="1">
      <c r="A1" s="1" t="inlineStr">
        <is>
          <t>Street consensus as known at the research date (maintained by the app)</t>
        </is>
      </c>
    </row>
    <row r="3">
      <c r="A3" s="2" t="inlineStr">
        <is>
          <t>Estimate</t>
        </is>
      </c>
      <c r="B3" s="3" t="inlineStr">
        <is>
          <t>2026 (USD bn)</t>
        </is>
      </c>
      <c r="C3" s="3" t="inlineStr">
        <is>
          <t>Source</t>
        </is>
      </c>
    </row>
    <row r="4">
      <c r="A4" t="inlineStr">
        <is>
          <t>NVIDIA Data Center revenue</t>
        </is>
      </c>
      <c r="B4" s="4" t="n">
        <v>376</v>
      </c>
      <c r="C4" t="inlineStr">
        <is>
          <t>broker-oct2026</t>
        </is>
      </c>
    </row>
    <row r="5">
      <c r="A5" t="inlineStr">
        <is>
          <t>AMD Data Center GPU revenue</t>
        </is>
      </c>
      <c r="B5" s="4" t="n">
        <v>14</v>
      </c>
      <c r="C5" t="inlineStr">
        <is>
          <t>broker-oct2026</t>
        </is>
      </c>
    </row>
    <row r="6">
      <c r="B6" s="4" t="n"/>
    </row>
    <row r="7">
      <c r="B7" s="4" t="n"/>
    </row>
    <row r="8">
      <c r="A8" t="inlineStr">
        <is>
          <t>Microsoft 2026 capex</t>
        </is>
      </c>
      <c r="B8" s="4" t="n">
        <v>145</v>
      </c>
    </row>
    <row r="9">
      <c r="A9" t="inlineStr">
        <is>
          <t>Alphabet 2026 capex</t>
        </is>
      </c>
      <c r="B9" s="4" t="n">
        <v>175</v>
      </c>
    </row>
    <row r="10">
      <c r="A10" t="inlineStr">
        <is>
          <t>Meta 2026 capex</t>
        </is>
      </c>
      <c r="B10" s="4" t="n">
        <v>137.5</v>
      </c>
    </row>
    <row r="11">
      <c r="A11" t="inlineStr">
        <is>
          <t>Amazon 2026 capex</t>
        </is>
      </c>
      <c r="B11" s="4" t="n">
        <v>210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70" customWidth="1" min="5" max="5"/>
    <col width="30" customWidth="1" min="6" max="6"/>
  </cols>
  <sheetData>
    <row r="1">
      <c r="A1" s="2" t="inlineStr">
        <is>
          <t>Date</t>
        </is>
      </c>
      <c r="B1" s="3" t="inlineStr">
        <is>
          <t>Cell</t>
        </is>
      </c>
      <c r="C1" s="3" t="inlineStr">
        <is>
          <t>From</t>
        </is>
      </c>
      <c r="D1" s="3" t="inlineStr">
        <is>
          <t>To</t>
        </is>
      </c>
      <c r="E1" s="3" t="inlineStr">
        <is>
          <t>Why</t>
        </is>
      </c>
      <c r="F1" s="3" t="inlineStr">
        <is>
          <t>Sources</t>
        </is>
      </c>
    </row>
    <row r="2">
      <c r="A2" t="inlineStr">
        <is>
          <t>2026-10-12</t>
        </is>
      </c>
      <c r="B2" t="inlineStr">
        <is>
          <t>Quarters!B7</t>
        </is>
      </c>
      <c r="D2" t="n">
        <v>62.314</v>
      </c>
      <c r="E2" t="inlineStr">
        <is>
          <t>Initiate NVIDIA Q3 FY27 Data Center estimate at $103bn: $110.5bn total (2.3% above $108bn guide, smaller than recent beats) less $7.5bn Edge; own Q4 DC view $128bn on Rubin ramp and ACIE growth. Record filing-exact prior Q4/Q1/Q2.</t>
        </is>
      </c>
      <c r="F2" t="inlineStr">
        <is>
          <t>nvda-2026-02-25-cfo</t>
        </is>
      </c>
    </row>
    <row r="3">
      <c r="A3" t="inlineStr">
        <is>
          <t>2026-10-12</t>
        </is>
      </c>
      <c r="B3" t="inlineStr">
        <is>
          <t>Quarters!C7</t>
        </is>
      </c>
      <c r="D3" t="n">
        <v>75.246</v>
      </c>
      <c r="E3" t="inlineStr">
        <is>
          <t>Initiate NVIDIA Q3 FY27 Data Center estimate at $103bn: $110.5bn total (2.3% above $108bn guide, smaller than recent beats) less $7.5bn Edge; own Q4 DC view $128bn on Rubin ramp and ACIE growth. Record filing-exact prior Q4/Q1/Q2.</t>
        </is>
      </c>
      <c r="F3" t="inlineStr">
        <is>
          <t>nvda-2026-05-20-cfo</t>
        </is>
      </c>
    </row>
    <row r="4">
      <c r="A4" t="inlineStr">
        <is>
          <t>2026-10-12</t>
        </is>
      </c>
      <c r="B4" t="inlineStr">
        <is>
          <t>Quarters!D7</t>
        </is>
      </c>
      <c r="D4" t="n">
        <v>89.023</v>
      </c>
      <c r="E4" t="inlineStr">
        <is>
          <t>Initiate NVIDIA Q3 FY27 Data Center estimate at $103bn: $110.5bn total (2.3% above $108bn guide, smaller than recent beats) less $7.5bn Edge; own Q4 DC view $128bn on Rubin ramp and ACIE growth. Record filing-exact prior Q4/Q1/Q2.</t>
        </is>
      </c>
      <c r="F4" t="inlineStr">
        <is>
          <t>nvda-2026-08-26-cfo</t>
        </is>
      </c>
    </row>
    <row r="5">
      <c r="A5" t="inlineStr">
        <is>
          <t>2026-10-12</t>
        </is>
      </c>
      <c r="B5" t="inlineStr">
        <is>
          <t>Quarters!E7</t>
        </is>
      </c>
      <c r="D5" t="n">
        <v>103</v>
      </c>
      <c r="E5" t="inlineStr">
        <is>
          <t>Initiate NVIDIA Q3 FY27 Data Center estimate at $103bn: $110.5bn total (2.3% above $108bn guide, smaller than recent beats) less $7.5bn Edge; own Q4 DC view $128bn on Rubin ramp and ACIE growth. Record filing-exact prior Q4/Q1/Q2.</t>
        </is>
      </c>
      <c r="F5" t="inlineStr">
        <is>
          <t>nvda-2026-08-26-release</t>
        </is>
      </c>
    </row>
    <row r="6">
      <c r="A6" t="inlineStr">
        <is>
          <t>2026-10-12</t>
        </is>
      </c>
      <c r="B6" t="inlineStr">
        <is>
          <t>Quarters!B15</t>
        </is>
      </c>
      <c r="D6" t="n">
        <v>128</v>
      </c>
      <c r="E6" t="inlineStr">
        <is>
          <t>Initiate NVIDIA Q3 FY27 Data Center estimate at $103bn: $110.5bn total (2.3% above $108bn guide, smaller than recent beats) less $7.5bn Edge; own Q4 DC view $128bn on Rubin ramp and ACIE growth. Record filing-exact prior Q4/Q1/Q2.</t>
        </is>
      </c>
    </row>
    <row r="7">
      <c r="A7" t="inlineStr">
        <is>
          <t>2026-10-12</t>
        </is>
      </c>
      <c r="B7" t="inlineStr">
        <is>
          <t>Inputs!C4</t>
        </is>
      </c>
      <c r="C7" t="n">
        <v>145</v>
      </c>
      <c r="D7" t="n">
        <v>150</v>
      </c>
      <c r="E7"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7"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8">
      <c r="A8" t="inlineStr">
        <is>
          <t>2026-10-12</t>
        </is>
      </c>
      <c r="B8" t="inlineStr">
        <is>
          <t>Inputs!C5</t>
        </is>
      </c>
      <c r="C8" t="n">
        <v>175</v>
      </c>
      <c r="D8" t="n">
        <v>180</v>
      </c>
      <c r="E8"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8"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9">
      <c r="A9" t="inlineStr">
        <is>
          <t>2026-10-12</t>
        </is>
      </c>
      <c r="B9" t="inlineStr">
        <is>
          <t>Inputs!C7</t>
        </is>
      </c>
      <c r="C9" t="n">
        <v>210</v>
      </c>
      <c r="D9" t="n">
        <v>215</v>
      </c>
      <c r="E9"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9"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0">
      <c r="A10" t="inlineStr">
        <is>
          <t>2026-10-12</t>
        </is>
      </c>
      <c r="B10" t="inlineStr">
        <is>
          <t>Inputs!B11</t>
        </is>
      </c>
      <c r="C10" t="n">
        <v>0.33</v>
      </c>
      <c r="D10" t="n">
        <v>0.37</v>
      </c>
      <c r="E10"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0"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1">
      <c r="A11" t="inlineStr">
        <is>
          <t>2026-10-12</t>
        </is>
      </c>
      <c r="B11" t="inlineStr">
        <is>
          <t>Inputs!B12</t>
        </is>
      </c>
      <c r="C11" t="n">
        <v>0.58</v>
      </c>
      <c r="D11" t="n">
        <v>0.64</v>
      </c>
      <c r="E11"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1"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2">
      <c r="A12" t="inlineStr">
        <is>
          <t>2026-10-12</t>
        </is>
      </c>
      <c r="B12" t="inlineStr">
        <is>
          <t>Inputs!B14</t>
        </is>
      </c>
      <c r="C12" t="n">
        <v>0.48</v>
      </c>
      <c r="D12" t="n">
        <v>0.46</v>
      </c>
      <c r="E12"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2"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3">
      <c r="A13" t="inlineStr">
        <is>
          <t>2026-10-12</t>
        </is>
      </c>
      <c r="B13" t="inlineStr">
        <is>
          <t>Inputs!D11</t>
        </is>
      </c>
      <c r="C13" t="n">
        <v>0.42</v>
      </c>
      <c r="D13" t="n">
        <v>0.39</v>
      </c>
      <c r="E13"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3"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4">
      <c r="A14" t="inlineStr">
        <is>
          <t>2026-10-12</t>
        </is>
      </c>
      <c r="B14" t="inlineStr">
        <is>
          <t>Inputs!D12</t>
        </is>
      </c>
      <c r="C14" t="n">
        <v>0.7</v>
      </c>
      <c r="D14" t="n">
        <v>0.66</v>
      </c>
      <c r="E14"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4"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5">
      <c r="A15" t="inlineStr">
        <is>
          <t>2026-10-12</t>
        </is>
      </c>
      <c r="B15" t="inlineStr">
        <is>
          <t>Inputs!D14</t>
        </is>
      </c>
      <c r="C15" t="n">
        <v>0.43</v>
      </c>
      <c r="D15" t="n">
        <v>0.445</v>
      </c>
      <c r="E15"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5"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6">
      <c r="A16" t="inlineStr">
        <is>
          <t>2026-10-12</t>
        </is>
      </c>
      <c r="B16" t="inlineStr">
        <is>
          <t>Inputs!B13</t>
        </is>
      </c>
      <c r="C16" t="n">
        <v>0.02</v>
      </c>
      <c r="D16" t="n">
        <v>0.025</v>
      </c>
      <c r="E16"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6"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7">
      <c r="A17" t="inlineStr">
        <is>
          <t>2026-10-12</t>
        </is>
      </c>
      <c r="B17" t="inlineStr">
        <is>
          <t>Inputs!C13</t>
        </is>
      </c>
      <c r="C17" t="n">
        <v>0.03</v>
      </c>
      <c r="D17" t="n">
        <v>0.027</v>
      </c>
      <c r="E17"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7"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8">
      <c r="A18" t="inlineStr">
        <is>
          <t>2026-10-12</t>
        </is>
      </c>
      <c r="B18" t="inlineStr">
        <is>
          <t>Inputs!D13</t>
        </is>
      </c>
      <c r="C18" t="n">
        <v>0.045</v>
      </c>
      <c r="D18" t="n">
        <v>0.03</v>
      </c>
      <c r="E18" t="inlineStr">
        <is>
          <t>Coverage initiation, calendar 2026: MSFT cash PP&amp;E $150bn ($66.678bn H1 + $83.322bn H2); GOOGL gross PP&amp;E $180bn (available $175-185bn guide midpoint, $80.598bn H1 + $99.402bn H2); AMZN gross PP&amp;E $215bn ($98.411bn H1 + $116.589bn H2), each +$5bn vs street; hold META $137.5bn latest $130-145bn guide midpoint. Keep base mix/NVDA split/concentration 38%/65%/45% as judgment. Tighten NVDA bear mix/split/concentration to 37%/64%/46%, bull to 39%/66%/44.5%: filing-exact CY reported contribution $185.040bn, Q3 DC estimate $103bn and own Q4 $128bn reject initial tails (Q4 required -$32.45bn/$252.01bn at base Q3). AMD GPU-only undisclosed: re-anchor base share 3%-&gt;2.7% to street $14bn, narrow bear/bull shares 2%-&gt;2.5% and 4.5%-&gt;3%; named Meta/Azure deployment supports downside floor but no dollars justify bullish base. All driver sizes are judgment, not reported shares.</t>
        </is>
      </c>
      <c r="F18" t="inlineStr">
        <is>
          <t>msft-2026-04-29-release, msft-2026-07-29-release, googl-2026-02-04-release, googl-2026-07-22-release, meta-2026-04-29-release, meta-2026-07-29-release, amzn-2026-02-05-release, amzn-2026-07-30-release, nvda-2026-02-25-cfo, nvda-2026-05-20-cfo, nvda-2026-05-20-release, nvda-2026-08-26-cfo, nvda-2026-08-26-release, amd-2026-05-05-release, amd-2026-08-04-release, street-oct2026</t>
        </is>
      </c>
    </row>
    <row r="19">
      <c r="A19" t="inlineStr">
        <is>
          <t>2026-10-12</t>
        </is>
      </c>
      <c r="B19" t="inlineStr">
        <is>
          <t>Quarters!B15</t>
        </is>
      </c>
      <c r="C19" t="n">
        <v>128</v>
      </c>
      <c r="D19" t="n">
        <v>128</v>
      </c>
      <c r="E19" t="inlineStr">
        <is>
          <t>After initiating inputs, retain unreported Q3 FY27 Data Center $103bn and own Q4 FY27 $128bn. Q3 total $110.5bn less Edge $7.5bn; total beats guide 2.3%, below recent 4.6%/5.7% beats. Calendar bridge weights prior Q4 by 1/3, Q1/Q2/Q3 by 1, next Q4 by 2/3. Record expected Q3 print November 18, 2026 as analyst estimate, unconfirmed.</t>
        </is>
      </c>
    </row>
    <row r="20">
      <c r="A20" t="inlineStr">
        <is>
          <t>2026-10-12</t>
        </is>
      </c>
      <c r="B20" t="inlineStr">
        <is>
          <t>Inputs!D12</t>
        </is>
      </c>
      <c r="C20" t="n">
        <v>0.66</v>
      </c>
      <c r="D20" t="n">
        <v>0.655</v>
      </c>
      <c r="E20" t="inlineStr">
        <is>
          <t>October 12 synthetic channel check: October 1-8 interviews add an apparently distinct order-channel observation of rising custom accelerators at two unnamed Big Four clouds, but respondent independence, customer identity, dollars and delivery years are unverified. Prior Amazon primary disclosures independently establish Trainium deployments and 2027 capacity plans, not the anonymous customers' dollar shares. As judgment, halve the optional NVIDIA bull share premium over base from 1pp to 0.5pp: bull nvda_share 66%-&gt;65.5%, cutting CY2026 bull $394.78bn to $391.79bn (-$2.99bn/-0.76%). This discounts favorable end-year share persistence, not a measured 2026 market-share loss or a mechanical import of 2027 orders. Hold base/bear shares, all company capex, mix, concentration, AMD and Q3/Q4 estimates: 2027 power constraint is one planner's account without a dated slip; stable neocloud 20-30 week lead times are not new slippage. Base $374.62bn, Q3 DC $103bn and own Q4 $128bn remain.</t>
        </is>
      </c>
      <c r="F20" t="inlineStr">
        <is>
          <t>channel-oct2026, amzn-2026-02-05-release, amzn-2026-04-29-release, amzn-2026-07-30-release, nvda-2026-08-26-release</t>
        </is>
      </c>
    </row>
    <row r="21">
      <c r="A21" t="inlineStr">
        <is>
          <t>2026-10-12</t>
        </is>
      </c>
      <c r="B21" t="inlineStr">
        <is>
          <t>Inputs!C11</t>
        </is>
      </c>
      <c r="C21" t="n">
        <v>0.38</v>
      </c>
      <c r="D21" t="n">
        <v>0.373</v>
      </c>
      <c r="E21" t="inlineStr">
        <is>
          <t>Dated synthetic calendar-Q4-to-Q1 deferral allegations change timing odds despite unverified respondent independence and customer IDs. System value $12-15bn x reported 70% NVIDIA is $8.4-10.5bn branded rack value, not NVIDIA revenue. Size direct total-NVIDIA base haircut at about $3.15bn: $13.5bn midpoint x70% x assumed 2/3 supplier content x50% net confidence/recognition-shift weight; bear about $7.56bn uses 80% content and full realization. These conversion/weights are judgment, not disclosed BOM or probabilities. Base mix 38%-&gt;37.3% and NVDA Big4 concentration 45%-&gt;44.55% jointly calibrate ~$3.19bn direct global hit while keeping non-Big4 NVDA dollars approximately unchanged; do not gross a customer-specific loss up by 1/concentration. Bear mix 37%-&gt;35.3%, concentration46%-&gt;44.85% give ~$7.55bn hit. Base AMD split2.7%-&gt;2.75% recalibrates unchanged ~$14bn GPU anchor after shared-mix change; no claim of competitive share gain. Hold all company capex estimates pending IDs/measure reconciliation; lower realized accelerator mix is a provisional timing proxy assuming other infrastructure/prepaid/offset deliveries can fill current budgets, not a measured cash-capex cut. If named cash cuts are confirmed replace/reconcile the proxy to avoid double counting. Hold NVIDIA competitive split and bull. Separate quarterly tool revises Q3DC103-&gt;102 and own Q4DC128-&gt;127: roughly even original Oct-Dec and new Jan-Mar placement makes expected ~$1.05bn net hit to each fiscal quarter; January remains FYQ4.</t>
        </is>
      </c>
      <c r="F21" t="inlineStr">
        <is>
          <t>channel-q4-slip, channel-oct2026, web-b93e425ae9, web-81e32d74b6, web-454ed8f95a, meta-2026-07-29-release, nvda-2026-08-26-release, amd-2026-08-04-release</t>
        </is>
      </c>
    </row>
    <row r="22">
      <c r="A22" t="inlineStr">
        <is>
          <t>2026-10-12</t>
        </is>
      </c>
      <c r="B22" t="inlineStr">
        <is>
          <t>Inputs!C14</t>
        </is>
      </c>
      <c r="C22" t="n">
        <v>0.45</v>
      </c>
      <c r="D22" t="n">
        <v>0.4455</v>
      </c>
      <c r="E22" t="inlineStr">
        <is>
          <t>Dated synthetic calendar-Q4-to-Q1 deferral allegations change timing odds despite unverified respondent independence and customer IDs. System value $12-15bn x reported 70% NVIDIA is $8.4-10.5bn branded rack value, not NVIDIA revenue. Size direct total-NVIDIA base haircut at about $3.15bn: $13.5bn midpoint x70% x assumed 2/3 supplier content x50% net confidence/recognition-shift weight; bear about $7.56bn uses 80% content and full realization. These conversion/weights are judgment, not disclosed BOM or probabilities. Base mix 38%-&gt;37.3% and NVDA Big4 concentration 45%-&gt;44.55% jointly calibrate ~$3.19bn direct global hit while keeping non-Big4 NVDA dollars approximately unchanged; do not gross a customer-specific loss up by 1/concentration. Bear mix 37%-&gt;35.3%, concentration46%-&gt;44.85% give ~$7.55bn hit. Base AMD split2.7%-&gt;2.75% recalibrates unchanged ~$14bn GPU anchor after shared-mix change; no claim of competitive share gain. Hold all company capex estimates pending IDs/measure reconciliation; lower realized accelerator mix is a provisional timing proxy assuming other infrastructure/prepaid/offset deliveries can fill current budgets, not a measured cash-capex cut. If named cash cuts are confirmed replace/reconcile the proxy to avoid double counting. Hold NVIDIA competitive split and bull. Separate quarterly tool revises Q3DC103-&gt;102 and own Q4DC128-&gt;127: roughly even original Oct-Dec and new Jan-Mar placement makes expected ~$1.05bn net hit to each fiscal quarter; January remains FYQ4.</t>
        </is>
      </c>
      <c r="F22" t="inlineStr">
        <is>
          <t>channel-q4-slip, channel-oct2026, web-b93e425ae9, web-81e32d74b6, web-454ed8f95a, meta-2026-07-29-release, nvda-2026-08-26-release, amd-2026-08-04-release</t>
        </is>
      </c>
    </row>
    <row r="23">
      <c r="A23" t="inlineStr">
        <is>
          <t>2026-10-12</t>
        </is>
      </c>
      <c r="B23" t="inlineStr">
        <is>
          <t>Inputs!C13</t>
        </is>
      </c>
      <c r="C23" t="n">
        <v>0.027</v>
      </c>
      <c r="D23" t="n">
        <v>0.0275</v>
      </c>
      <c r="E23" t="inlineStr">
        <is>
          <t>Dated synthetic calendar-Q4-to-Q1 deferral allegations change timing odds despite unverified respondent independence and customer IDs. System value $12-15bn x reported 70% NVIDIA is $8.4-10.5bn branded rack value, not NVIDIA revenue. Size direct total-NVIDIA base haircut at about $3.15bn: $13.5bn midpoint x70% x assumed 2/3 supplier content x50% net confidence/recognition-shift weight; bear about $7.56bn uses 80% content and full realization. These conversion/weights are judgment, not disclosed BOM or probabilities. Base mix 38%-&gt;37.3% and NVDA Big4 concentration 45%-&gt;44.55% jointly calibrate ~$3.19bn direct global hit while keeping non-Big4 NVDA dollars approximately unchanged; do not gross a customer-specific loss up by 1/concentration. Bear mix 37%-&gt;35.3%, concentration46%-&gt;44.85% give ~$7.55bn hit. Base AMD split2.7%-&gt;2.75% recalibrates unchanged ~$14bn GPU anchor after shared-mix change; no claim of competitive share gain. Hold all company capex estimates pending IDs/measure reconciliation; lower realized accelerator mix is a provisional timing proxy assuming other infrastructure/prepaid/offset deliveries can fill current budgets, not a measured cash-capex cut. If named cash cuts are confirmed replace/reconcile the proxy to avoid double counting. Hold NVIDIA competitive split and bull. Separate quarterly tool revises Q3DC103-&gt;102 and own Q4DC128-&gt;127: roughly even original Oct-Dec and new Jan-Mar placement makes expected ~$1.05bn net hit to each fiscal quarter; January remains FYQ4.</t>
        </is>
      </c>
      <c r="F23" t="inlineStr">
        <is>
          <t>channel-q4-slip, channel-oct2026, web-b93e425ae9, web-81e32d74b6, web-454ed8f95a, meta-2026-07-29-release, nvda-2026-08-26-release, amd-2026-08-04-release</t>
        </is>
      </c>
    </row>
    <row r="24">
      <c r="A24" t="inlineStr">
        <is>
          <t>2026-10-12</t>
        </is>
      </c>
      <c r="B24" t="inlineStr">
        <is>
          <t>Inputs!B11</t>
        </is>
      </c>
      <c r="C24" t="n">
        <v>0.37</v>
      </c>
      <c r="D24" t="n">
        <v>0.353</v>
      </c>
      <c r="E24" t="inlineStr">
        <is>
          <t>Dated synthetic calendar-Q4-to-Q1 deferral allegations change timing odds despite unverified respondent independence and customer IDs. System value $12-15bn x reported 70% NVIDIA is $8.4-10.5bn branded rack value, not NVIDIA revenue. Size direct total-NVIDIA base haircut at about $3.15bn: $13.5bn midpoint x70% x assumed 2/3 supplier content x50% net confidence/recognition-shift weight; bear about $7.56bn uses 80% content and full realization. These conversion/weights are judgment, not disclosed BOM or probabilities. Base mix 38%-&gt;37.3% and NVDA Big4 concentration 45%-&gt;44.55% jointly calibrate ~$3.19bn direct global hit while keeping non-Big4 NVDA dollars approximately unchanged; do not gross a customer-specific loss up by 1/concentration. Bear mix 37%-&gt;35.3%, concentration46%-&gt;44.85% give ~$7.55bn hit. Base AMD split2.7%-&gt;2.75% recalibrates unchanged ~$14bn GPU anchor after shared-mix change; no claim of competitive share gain. Hold all company capex estimates pending IDs/measure reconciliation; lower realized accelerator mix is a provisional timing proxy assuming other infrastructure/prepaid/offset deliveries can fill current budgets, not a measured cash-capex cut. If named cash cuts are confirmed replace/reconcile the proxy to avoid double counting. Hold NVIDIA competitive split and bull. Separate quarterly tool revises Q3DC103-&gt;102 and own Q4DC128-&gt;127: roughly even original Oct-Dec and new Jan-Mar placement makes expected ~$1.05bn net hit to each fiscal quarter; January remains FYQ4.</t>
        </is>
      </c>
      <c r="F24" t="inlineStr">
        <is>
          <t>channel-q4-slip, channel-oct2026, web-b93e425ae9, web-81e32d74b6, web-454ed8f95a, meta-2026-07-29-release, nvda-2026-08-26-release, amd-2026-08-04-release</t>
        </is>
      </c>
    </row>
    <row r="25">
      <c r="A25" t="inlineStr">
        <is>
          <t>2026-10-12</t>
        </is>
      </c>
      <c r="B25" t="inlineStr">
        <is>
          <t>Inputs!B14</t>
        </is>
      </c>
      <c r="C25" t="n">
        <v>0.46</v>
      </c>
      <c r="D25" t="n">
        <v>0.4485</v>
      </c>
      <c r="E25" t="inlineStr">
        <is>
          <t>Dated synthetic calendar-Q4-to-Q1 deferral allegations change timing odds despite unverified respondent independence and customer IDs. System value $12-15bn x reported 70% NVIDIA is $8.4-10.5bn branded rack value, not NVIDIA revenue. Size direct total-NVIDIA base haircut at about $3.15bn: $13.5bn midpoint x70% x assumed 2/3 supplier content x50% net confidence/recognition-shift weight; bear about $7.56bn uses 80% content and full realization. These conversion/weights are judgment, not disclosed BOM or probabilities. Base mix 38%-&gt;37.3% and NVDA Big4 concentration 45%-&gt;44.55% jointly calibrate ~$3.19bn direct global hit while keeping non-Big4 NVDA dollars approximately unchanged; do not gross a customer-specific loss up by 1/concentration. Bear mix 37%-&gt;35.3%, concentration46%-&gt;44.85% give ~$7.55bn hit. Base AMD split2.7%-&gt;2.75% recalibrates unchanged ~$14bn GPU anchor after shared-mix change; no claim of competitive share gain. Hold all company capex estimates pending IDs/measure reconciliation; lower realized accelerator mix is a provisional timing proxy assuming other infrastructure/prepaid/offset deliveries can fill current budgets, not a measured cash-capex cut. If named cash cuts are confirmed replace/reconcile the proxy to avoid double counting. Hold NVIDIA competitive split and bull. Separate quarterly tool revises Q3DC103-&gt;102 and own Q4DC128-&gt;127: roughly even original Oct-Dec and new Jan-Mar placement makes expected ~$1.05bn net hit to each fiscal quarter; January remains FYQ4.</t>
        </is>
      </c>
      <c r="F25" t="inlineStr">
        <is>
          <t>channel-q4-slip, channel-oct2026, web-b93e425ae9, web-81e32d74b6, web-454ed8f95a, meta-2026-07-29-release, nvda-2026-08-26-release, amd-2026-08-04-release</t>
        </is>
      </c>
    </row>
    <row r="26">
      <c r="A26" t="inlineStr">
        <is>
          <t>2026-10-12</t>
        </is>
      </c>
      <c r="B26" t="inlineStr">
        <is>
          <t>Quarters!E7</t>
        </is>
      </c>
      <c r="C26" t="n">
        <v>103</v>
      </c>
      <c r="D26" t="n">
        <v>102</v>
      </c>
      <c r="E26" t="inlineStr">
        <is>
          <t>Revise unreported Q3 FY27 Data Center 103-&gt;102 and own Q4 FY27 128-&gt;127 on dated Q4 CY2026 rack deferrals. Direct expected calendar revenue shift ~$3.15bn is judgment from branded-value/content/net-realization assumptions. Assume original shifted supplier revenue roughly evenly in Oct/Nov/Dec and receipts Jan/Feb/Mar: Q3 loses October ~$1.05bn; FYQ4 loses Nov/Dec ~$2.10bn but gains January ~$1.05bn, net loss ~$1.05bn, rounded to $1bn each. These month allocations are estimates, not vendor detail. New Q3 total109.5 less Edge7.5 is a1.4% beat vs108 guide. Expected Nov18 report remains unconfirmed. Filing-exact reported quarters unchanged. New top-down annual371.4301 implies FYQ4 126.5847 at revised Q3 102; own127 yields monthly bridge371.707. Fixed monthly weights cannot fully measure January redistribution; saved formulas/application recalculation, not pre-decision snapshot diagnostics, govern.</t>
        </is>
      </c>
      <c r="F26" t="inlineStr">
        <is>
          <t>channel-q4-slip</t>
        </is>
      </c>
    </row>
    <row r="27">
      <c r="A27" t="inlineStr">
        <is>
          <t>2026-10-12</t>
        </is>
      </c>
      <c r="B27" t="inlineStr">
        <is>
          <t>Quarters!B15</t>
        </is>
      </c>
      <c r="C27" t="n">
        <v>128</v>
      </c>
      <c r="D27" t="n">
        <v>127</v>
      </c>
      <c r="E27" t="inlineStr">
        <is>
          <t>Revise unreported Q3 FY27 Data Center 103-&gt;102 and own Q4 FY27 128-&gt;127 on dated Q4 CY2026 rack deferrals. Direct expected calendar revenue shift ~$3.15bn is judgment from branded-value/content/net-realization assumptions. Assume original shifted supplier revenue roughly evenly in Oct/Nov/Dec and receipts Jan/Feb/Mar: Q3 loses October ~$1.05bn; FYQ4 loses Nov/Dec ~$2.10bn but gains January ~$1.05bn, net loss ~$1.05bn, rounded to $1bn each. These month allocations are estimates, not vendor detail. New Q3 total109.5 less Edge7.5 is a1.4% beat vs108 guide. Expected Nov18 report remains unconfirmed. Filing-exact reported quarters unchanged. New top-down annual371.4301 implies FYQ4 126.5847 at revised Q3 102; own127 yields monthly bridge371.707. Fixed monthly weights cannot fully measure January redistribution; saved formulas/application recalculation, not pre-decision snapshot diagnostics, govern.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2026-10-12T13:40:23Z</dcterms:created>
  <dcterms:modified xmlns:dcterms="http://purl.org/dc/terms/" xmlns:xsi="http://www.w3.org/2001/XMLSchema-instance" xsi:type="dcterms:W3CDTF">2026-10-12T15:09:50Z</dcterms:modified>
</cp:coreProperties>
</file>